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ntretien\Documents\formulaires\"/>
    </mc:Choice>
  </mc:AlternateContent>
  <xr:revisionPtr revIDLastSave="0" documentId="13_ncr:1_{DCB34CD9-02F7-4F00-8605-2537B325BA9B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Audit" sheetId="1" r:id="rId1"/>
    <sheet name="2026-07-26" sheetId="9" r:id="rId2"/>
    <sheet name="Analyse" sheetId="10" r:id="rId3"/>
  </sheets>
  <definedNames>
    <definedName name="_xlnm.Print_Titles" localSheetId="2">Analyse!$1:$1</definedName>
    <definedName name="_xlnm.Print_Area" localSheetId="1">'2026-07-26'!$A$1:$E$62</definedName>
    <definedName name="_xlnm.Print_Area" localSheetId="0">Audit!$A$1:$E$62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9" l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7" i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</calcChain>
</file>

<file path=xl/sharedStrings.xml><?xml version="1.0" encoding="utf-8"?>
<sst xmlns="http://schemas.openxmlformats.org/spreadsheetml/2006/main" count="323" uniqueCount="78">
  <si>
    <t>Ensemble des tâches entretien( vérification )</t>
  </si>
  <si>
    <t>#</t>
  </si>
  <si>
    <t>Tâches</t>
  </si>
  <si>
    <t>Responsables</t>
  </si>
  <si>
    <t>Signature des installations critiques (pompe, salle électrique, salle d’eau chaude et piscine fermée).</t>
  </si>
  <si>
    <t>Entretien nuit</t>
  </si>
  <si>
    <t>Faire le balai et la moppe du plancher à la salle à manger.</t>
  </si>
  <si>
    <t>Nettoyer le bureau administratif et vider les poubelles.</t>
  </si>
  <si>
    <t>Nettoyer bureau de location et vider poubelle</t>
  </si>
  <si>
    <t>Nettoyer le golf virtuel et passer la balayeuse.</t>
  </si>
  <si>
    <t>Faire la moppe dans les entrées de la phase 1, de la phase 2 et dans le secteur des boîtes aux lettres.</t>
  </si>
  <si>
    <t>Nettoyer le gym : faire la moppe et désinfecter les appareils.</t>
  </si>
  <si>
    <t>Passer la balayeuse dans le cinéma.</t>
  </si>
  <si>
    <t>Passer la moppe au sous-sol de la phase 1 (ascensseur et salon coiffure) et de la phase 2 ( devant ascensseur).</t>
  </si>
  <si>
    <t>Faire la moppe dans les ascenseurs, désinfecter les touches.</t>
  </si>
  <si>
    <t>Passer l’aspirateur au salon et dans la salle de billard.</t>
  </si>
  <si>
    <t>Nettoyer les tables de billard.</t>
  </si>
  <si>
    <t>Nettoyer le bureau du Chef et vider poubelle</t>
  </si>
  <si>
    <t>Vérifier le compacteur à vidange et remplacer le bac au besoin.</t>
  </si>
  <si>
    <t>Salles des Soins: Passer l’aspirateur, laver les planchers et désinfecter les meubles</t>
  </si>
  <si>
    <t>Laver plancher et époussetter le bureau des loisirs.</t>
  </si>
  <si>
    <t>Désinfecter le plancher de la piscine et laver la douche (enlever les dépôts de calcaire sur la douche).</t>
  </si>
  <si>
    <t>Sortir les conteneurs de recyclage (les lundis).</t>
  </si>
  <si>
    <t>Entretien soir</t>
  </si>
  <si>
    <t>Sortir les conteneurs de vidanges (les mardis).</t>
  </si>
  <si>
    <t>Faire les tests de piscine à tous les jours vers 15 h 30.</t>
  </si>
  <si>
    <t>Faire tourner le recyclage sur les 6 étages au début et à la fin du quart.</t>
  </si>
  <si>
    <t>Signer les feuilles de vérification des équipements critiques (pompe, salle électrique, salle d’eau chaude et piscine).</t>
  </si>
  <si>
    <t>Vérifier le compacteur à vidange.</t>
  </si>
  <si>
    <t>Passer la zamboni sur les 6 étages dans les passages.</t>
  </si>
  <si>
    <t>Passer l’aspirateur à la bibliothèque</t>
  </si>
  <si>
    <t>Nettoyer la salle des casse-têtes (plancher et époussetage).</t>
  </si>
  <si>
    <t>Nettoyer la chapelle (plancher et époussetage).</t>
  </si>
  <si>
    <t>Nettoyer les salles de bain et vider les poubelles (5 salles de bain).</t>
  </si>
  <si>
    <t>Nettoyer les bacs de recyclage bleus dans les cubicules à déchets.</t>
  </si>
  <si>
    <t>Nettoyer les dépôts sur chaque étage (une fois par semaine).</t>
  </si>
  <si>
    <t>Nettoyer les planchers des salles d’entretien au minimum une fois par semaine et au besoin. Vérification des robinets (s’assurer qu’ils sont bien fermés).</t>
  </si>
  <si>
    <t>Nettoyer la salle communautaire et désinfecter les comptoirs.</t>
  </si>
  <si>
    <t>Nettoyer et désinfecter les équipements de la salle de réception phase 2 (coin piano).</t>
  </si>
  <si>
    <t>Faire le ménage de la salle de conférence de la phase 2.</t>
  </si>
  <si>
    <t>Nettoyer la salle d’exercice : faire la moppe, désinfecter les appareils et s’assurer de bien nettoyer les miroirs.</t>
  </si>
  <si>
    <t>Passer l’aspirateur dans la piscine (minimum une fois par semaine) et effectuer un backwash par la suite.</t>
  </si>
  <si>
    <t>Vérifier l’ensemble des portes de secours tous les soirs à 23 h 00 et s’assurer qu’elles sont bien barrées de l’extérieur.</t>
  </si>
  <si>
    <t>Désinfecter boîte à colis</t>
  </si>
  <si>
    <t>PAB nuit</t>
  </si>
  <si>
    <t>Époussetage + désinfection bibliothèque</t>
  </si>
  <si>
    <t>Époussetage + désinfection salle de jeu</t>
  </si>
  <si>
    <t>Désinfecter salle d'exercice</t>
  </si>
  <si>
    <t>Nettoyer mobilier piscine</t>
  </si>
  <si>
    <t>Désinfecter salle de golf</t>
  </si>
  <si>
    <t>Laver rebord de fenêtres des corridors</t>
  </si>
  <si>
    <t>Nettoyer rampes et mains courantes sur tous les étages</t>
  </si>
  <si>
    <t>PAB soir</t>
  </si>
  <si>
    <t>boutons ascenseurs, mur et arche (entrée) ascensseur + distributeur de désinfectant</t>
  </si>
  <si>
    <t>poignées porte et portes des chutes à déchets sur tous les étages</t>
  </si>
  <si>
    <t>comptoir réception</t>
  </si>
  <si>
    <t>Salle à manger</t>
  </si>
  <si>
    <t>Nettoyer les comptoirs au fond de la salle à manger</t>
  </si>
  <si>
    <t>Nettoyer les tables</t>
  </si>
  <si>
    <t>Changer les centres de table</t>
  </si>
  <si>
    <t>Laver les comptoirs et entretenir le comptoir administratif en le gardant libre de tout effet personnel</t>
  </si>
  <si>
    <t>Non fait</t>
  </si>
  <si>
    <t>Fait</t>
  </si>
  <si>
    <t>Incomplet</t>
  </si>
  <si>
    <t>lavabo salle bain handicap entree</t>
  </si>
  <si>
    <t>quel jour</t>
  </si>
  <si>
    <t>tache noir au sol prêt porte</t>
  </si>
  <si>
    <t>table salle</t>
  </si>
  <si>
    <t>proposition:1 etage par jour</t>
  </si>
  <si>
    <t>Laver les mirroirs du buffet</t>
  </si>
  <si>
    <t>par martin</t>
  </si>
  <si>
    <t>nettoyer sous la vitre</t>
  </si>
  <si>
    <t>plusieurs avec taches</t>
  </si>
  <si>
    <t>Tâche</t>
  </si>
  <si>
    <t>Responsable</t>
  </si>
  <si>
    <t>Total</t>
  </si>
  <si>
    <t>Performance</t>
  </si>
  <si>
    <t>Acceptable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</si>
</sst>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u/>
      <sz val="26"/>
      <color theme="1"/>
      <name val="Calibri"/>
      <family val="2"/>
    </font>
    <font>
      <b/>
      <sz val="26"/>
      <color theme="1"/>
      <name val="Calibri"/>
      <family val="2"/>
    </font>
    <font>
      <sz val="26"/>
      <color theme="1"/>
      <name val="Calibri"/>
      <family val="2"/>
    </font>
    <font>
      <sz val="16"/>
      <color theme="1"/>
      <name val="Calibri"/>
      <family val="2"/>
    </font>
    <font>
      <sz val="16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name val="Aptos Narrow"/>
      <family val="2"/>
    </font>
    <font>
      <b/>
      <sz val="16"/>
      <color theme="0"/>
      <name val="Calibri"/>
      <family val="2"/>
    </font>
    <font>
      <sz val="16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9E1F2"/>
      </patternFill>
    </fill>
    <fill>
      <patternFill patternType="solid">
        <fgColor rgb="FFD9EAD3"/>
      </patternFill>
    </fill>
    <fill>
      <patternFill patternType="solid">
        <fgColor rgb="FF0070C0"/>
        <bgColor indexed="64"/>
      </patternFill>
    </fill>
    <fill>
      <patternFill patternType="solid">
        <fgColor rgb="FF0070C0"/>
        <bgColor rgb="FF4472C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center"/>
    </xf>
    <xf numFmtId="0" fontId="3" fillId="0" borderId="0" xfId="0" applyFont="1"/>
    <xf numFmtId="0" fontId="4" fillId="0" borderId="1" xfId="0" applyFont="1" applyBorder="1" applyAlignment="1">
      <alignment horizontal="left" vertical="center" wrapText="1" readingOrder="1"/>
    </xf>
    <xf numFmtId="0" fontId="6" fillId="0" borderId="1" xfId="0" applyFont="1" applyBorder="1"/>
    <xf numFmtId="0" fontId="7" fillId="5" borderId="0" xfId="0" applyFont="1" applyFill="1"/>
    <xf numFmtId="0" fontId="5" fillId="0" borderId="0" xfId="0" applyFont="1"/>
    <xf numFmtId="0" fontId="8" fillId="7" borderId="1" xfId="0" applyFont="1" applyFill="1" applyBorder="1"/>
    <xf numFmtId="0" fontId="9" fillId="6" borderId="0" xfId="0" applyFont="1" applyFill="1"/>
    <xf numFmtId="0" fontId="8" fillId="6" borderId="3" xfId="0" applyFont="1" applyFill="1" applyBorder="1"/>
    <xf numFmtId="0" fontId="4" fillId="3" borderId="3" xfId="0" applyFont="1" applyFill="1" applyBorder="1" applyAlignment="1">
      <alignment horizontal="left" vertical="center" wrapText="1" readingOrder="1"/>
    </xf>
    <xf numFmtId="0" fontId="5" fillId="3" borderId="4" xfId="0" applyFont="1" applyFill="1" applyBorder="1" applyAlignment="1">
      <alignment wrapText="1" readingOrder="1"/>
    </xf>
    <xf numFmtId="0" fontId="5" fillId="4" borderId="4" xfId="0" applyFont="1" applyFill="1" applyBorder="1" applyAlignment="1">
      <alignment vertical="top" wrapText="1"/>
    </xf>
    <xf numFmtId="0" fontId="5" fillId="3" borderId="4" xfId="0" applyFont="1" applyFill="1" applyBorder="1" applyAlignment="1">
      <alignment vertical="top" wrapText="1"/>
    </xf>
    <xf numFmtId="0" fontId="5" fillId="3" borderId="4" xfId="0" applyFont="1" applyFill="1" applyBorder="1" applyAlignment="1">
      <alignment horizontal="left" vertical="center" wrapText="1"/>
    </xf>
    <xf numFmtId="0" fontId="4" fillId="0" borderId="5" xfId="0" applyFont="1" applyBorder="1" applyAlignment="1">
      <alignment vertical="center" wrapText="1"/>
    </xf>
    <xf numFmtId="0" fontId="5" fillId="0" borderId="6" xfId="0" applyFont="1" applyBorder="1" applyAlignment="1">
      <alignment wrapText="1" readingOrder="1"/>
    </xf>
    <xf numFmtId="14" fontId="6" fillId="0" borderId="1" xfId="0" applyNumberFormat="1" applyFont="1" applyBorder="1"/>
    <xf numFmtId="0" fontId="4" fillId="0" borderId="5" xfId="0" applyFont="1" applyBorder="1" applyAlignment="1" applyProtection="1">
      <alignment vertical="center" wrapText="1"/>
      <protection locked="0"/>
    </xf>
    <xf numFmtId="0" fontId="5" fillId="0" borderId="6" xfId="0" applyFont="1" applyBorder="1" applyAlignment="1" applyProtection="1">
      <alignment wrapText="1" readingOrder="1"/>
      <protection locked="0"/>
    </xf>
    <xf numFmtId="0" fontId="0" fillId="0" borderId="2" xfId="0" applyBorder="1" applyProtection="1">
      <protection locked="0"/>
    </xf>
    <xf numFmtId="0" fontId="1" fillId="2" borderId="0" xfId="0" applyFont="1" applyFill="1" applyAlignment="1">
      <alignment horizontal="center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365759</xdr:colOff>
      <xdr:row>0</xdr:row>
      <xdr:rowOff>4762</xdr:rowOff>
    </xdr:from>
    <xdr:ext cx="1828800" cy="107442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759" y="4762"/>
          <a:ext cx="1828800" cy="1074420"/>
        </a:xfrm>
        <a:prstGeom prst="rect">
          <a:avLst/>
        </a:prstGeom>
        <a:noFill/>
        <a:ln>
          <a:prstDash val="solid"/>
        </a:ln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1722120</xdr:colOff>
          <xdr:row>1</xdr:row>
          <xdr:rowOff>167640</xdr:rowOff>
        </xdr:from>
        <xdr:to>
          <xdr:col>1</xdr:col>
          <xdr:colOff>3528060</xdr:colOff>
          <xdr:row>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Sauvegarde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3649980</xdr:colOff>
          <xdr:row>1</xdr:row>
          <xdr:rowOff>144780</xdr:rowOff>
        </xdr:from>
        <xdr:to>
          <xdr:col>2</xdr:col>
          <xdr:colOff>205740</xdr:colOff>
          <xdr:row>2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1</xdr:row>
          <xdr:rowOff>137160</xdr:rowOff>
        </xdr:from>
        <xdr:to>
          <xdr:col>3</xdr:col>
          <xdr:colOff>762000</xdr:colOff>
          <xdr:row>2</xdr:row>
          <xdr:rowOff>53340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Imprime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944880</xdr:colOff>
          <xdr:row>1</xdr:row>
          <xdr:rowOff>121920</xdr:rowOff>
        </xdr:from>
        <xdr:to>
          <xdr:col>4</xdr:col>
          <xdr:colOff>228600</xdr:colOff>
          <xdr:row>2</xdr:row>
          <xdr:rowOff>45720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411480</xdr:colOff>
          <xdr:row>1</xdr:row>
          <xdr:rowOff>106680</xdr:rowOff>
        </xdr:from>
        <xdr:to>
          <xdr:col>4</xdr:col>
          <xdr:colOff>1927860</xdr:colOff>
          <xdr:row>2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Imprime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2712720</xdr:colOff>
          <xdr:row>2</xdr:row>
          <xdr:rowOff>251460</xdr:rowOff>
        </xdr:from>
        <xdr:to>
          <xdr:col>1</xdr:col>
          <xdr:colOff>4366260</xdr:colOff>
          <xdr:row>3</xdr:row>
          <xdr:rowOff>167640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Courriel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365759</xdr:colOff>
      <xdr:row>0</xdr:row>
      <xdr:rowOff>4762</xdr:rowOff>
    </xdr:from>
    <xdr:ext cx="1828800" cy="1074420"/>
    <xdr:pic>
      <xdr:nvPicPr>
        <xdr:cNvPr id="2" name="image1.png">
          <a:extLst>
            <a:ext uri="{FF2B5EF4-FFF2-40B4-BE49-F238E27FC236}">
              <a16:creationId xmlns:a16="http://schemas.microsoft.com/office/drawing/2014/main" id="{85FE5EDE-72C4-4C9A-B5D6-7872497696F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759" y="4762"/>
          <a:ext cx="1828800" cy="1074420"/>
        </a:xfrm>
        <a:prstGeom prst="rect">
          <a:avLst/>
        </a:prstGeom>
        <a:noFill/>
        <a:ln>
          <a:prstDash val="solid"/>
        </a:ln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1722120</xdr:colOff>
          <xdr:row>1</xdr:row>
          <xdr:rowOff>167640</xdr:rowOff>
        </xdr:from>
        <xdr:to>
          <xdr:col>1</xdr:col>
          <xdr:colOff>3528060</xdr:colOff>
          <xdr:row>2</xdr:row>
          <xdr:rowOff>68580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Sauvegarde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3649980</xdr:colOff>
          <xdr:row>1</xdr:row>
          <xdr:rowOff>144780</xdr:rowOff>
        </xdr:from>
        <xdr:to>
          <xdr:col>2</xdr:col>
          <xdr:colOff>205740</xdr:colOff>
          <xdr:row>2</xdr:row>
          <xdr:rowOff>60960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1</xdr:row>
          <xdr:rowOff>137160</xdr:rowOff>
        </xdr:from>
        <xdr:to>
          <xdr:col>3</xdr:col>
          <xdr:colOff>762000</xdr:colOff>
          <xdr:row>2</xdr:row>
          <xdr:rowOff>53340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Imprime Audit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944880</xdr:colOff>
          <xdr:row>1</xdr:row>
          <xdr:rowOff>121920</xdr:rowOff>
        </xdr:from>
        <xdr:to>
          <xdr:col>4</xdr:col>
          <xdr:colOff>228600</xdr:colOff>
          <xdr:row>2</xdr:row>
          <xdr:rowOff>45720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411480</xdr:colOff>
          <xdr:row>1</xdr:row>
          <xdr:rowOff>106680</xdr:rowOff>
        </xdr:from>
        <xdr:to>
          <xdr:col>4</xdr:col>
          <xdr:colOff>1927860</xdr:colOff>
          <xdr:row>2</xdr:row>
          <xdr:rowOff>30480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Aptos Narrow"/>
                </a:rPr>
                <a:t>Imprime analyse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E62"/>
  <sheetViews>
    <sheetView tabSelected="1" workbookViewId="0">
      <selection activeCell="C6" sqref="C6"/>
    </sheetView>
  </sheetViews>
  <sheetFormatPr baseColWidth="10" defaultColWidth="11.44140625" defaultRowHeight="14.4" x14ac:dyDescent="0.3"/>
  <cols>
    <col min="2" max="2" width="66.88671875" customWidth="1"/>
    <col min="3" max="3" width="15" customWidth="1"/>
    <col min="4" max="5" width="28.109375" customWidth="1"/>
  </cols>
  <sheetData>
    <row r="1" spans="1:5" ht="33.450000000000003" customHeight="1" x14ac:dyDescent="0.65">
      <c r="A1" s="21" t="s">
        <v>0</v>
      </c>
      <c r="B1" s="22"/>
      <c r="C1" s="22"/>
      <c r="D1" s="22"/>
      <c r="E1" s="22"/>
    </row>
    <row r="2" spans="1:5" ht="33.450000000000003" customHeight="1" x14ac:dyDescent="0.65">
      <c r="A2" s="1"/>
      <c r="B2" s="2"/>
      <c r="D2" s="2"/>
      <c r="E2" s="2"/>
    </row>
    <row r="3" spans="1:5" ht="33.450000000000003" customHeight="1" x14ac:dyDescent="0.65">
      <c r="A3" s="1"/>
      <c r="B3" s="2"/>
      <c r="D3" s="2"/>
      <c r="E3" s="2"/>
    </row>
    <row r="4" spans="1:5" ht="21" customHeight="1" x14ac:dyDescent="0.4">
      <c r="C4" s="6"/>
      <c r="D4" s="17"/>
      <c r="E4" s="4"/>
    </row>
    <row r="5" spans="1:5" ht="21" customHeight="1" x14ac:dyDescent="0.4">
      <c r="A5" s="7" t="s">
        <v>1</v>
      </c>
      <c r="B5" s="7" t="s">
        <v>2</v>
      </c>
      <c r="C5" s="8"/>
      <c r="D5" s="9" t="s">
        <v>3</v>
      </c>
      <c r="E5" s="9"/>
    </row>
    <row r="6" spans="1:5" ht="40.200000000000003" customHeight="1" x14ac:dyDescent="0.3">
      <c r="A6" s="3">
        <v>1</v>
      </c>
      <c r="B6" s="10" t="s">
        <v>4</v>
      </c>
      <c r="C6" s="20"/>
      <c r="D6" s="15" t="s">
        <v>5</v>
      </c>
      <c r="E6" s="18"/>
    </row>
    <row r="7" spans="1:5" ht="40.200000000000003" customHeight="1" x14ac:dyDescent="0.3">
      <c r="A7" s="3">
        <f t="shared" ref="A7:A38" si="0">1+A6</f>
        <v>2</v>
      </c>
      <c r="B7" s="10" t="s">
        <v>6</v>
      </c>
      <c r="C7" s="20"/>
      <c r="D7" s="15" t="s">
        <v>5</v>
      </c>
      <c r="E7" s="18"/>
    </row>
    <row r="8" spans="1:5" ht="40.200000000000003" customHeight="1" x14ac:dyDescent="0.3">
      <c r="A8" s="3">
        <f t="shared" si="0"/>
        <v>3</v>
      </c>
      <c r="B8" s="10" t="s">
        <v>7</v>
      </c>
      <c r="C8" s="20"/>
      <c r="D8" s="15" t="s">
        <v>5</v>
      </c>
      <c r="E8" s="18"/>
    </row>
    <row r="9" spans="1:5" ht="40.200000000000003" customHeight="1" x14ac:dyDescent="0.3">
      <c r="A9" s="3">
        <f t="shared" si="0"/>
        <v>4</v>
      </c>
      <c r="B9" s="10" t="s">
        <v>8</v>
      </c>
      <c r="C9" s="20"/>
      <c r="D9" s="15" t="s">
        <v>5</v>
      </c>
      <c r="E9" s="18"/>
    </row>
    <row r="10" spans="1:5" ht="40.200000000000003" customHeight="1" x14ac:dyDescent="0.3">
      <c r="A10" s="3">
        <f t="shared" si="0"/>
        <v>5</v>
      </c>
      <c r="B10" s="10" t="s">
        <v>9</v>
      </c>
      <c r="C10" s="20"/>
      <c r="D10" s="15" t="s">
        <v>5</v>
      </c>
      <c r="E10" s="18"/>
    </row>
    <row r="11" spans="1:5" ht="40.200000000000003" customHeight="1" x14ac:dyDescent="0.3">
      <c r="A11" s="3">
        <f t="shared" si="0"/>
        <v>6</v>
      </c>
      <c r="B11" s="10" t="s">
        <v>10</v>
      </c>
      <c r="C11" s="20"/>
      <c r="D11" s="15" t="s">
        <v>5</v>
      </c>
      <c r="E11" s="18"/>
    </row>
    <row r="12" spans="1:5" ht="40.200000000000003" customHeight="1" x14ac:dyDescent="0.3">
      <c r="A12" s="3">
        <f t="shared" si="0"/>
        <v>7</v>
      </c>
      <c r="B12" s="10" t="s">
        <v>11</v>
      </c>
      <c r="C12" s="20"/>
      <c r="D12" s="15" t="s">
        <v>5</v>
      </c>
      <c r="E12" s="18"/>
    </row>
    <row r="13" spans="1:5" ht="40.200000000000003" customHeight="1" x14ac:dyDescent="0.3">
      <c r="A13" s="3">
        <f t="shared" si="0"/>
        <v>8</v>
      </c>
      <c r="B13" s="10" t="s">
        <v>12</v>
      </c>
      <c r="C13" s="20"/>
      <c r="D13" s="15" t="s">
        <v>5</v>
      </c>
      <c r="E13" s="18"/>
    </row>
    <row r="14" spans="1:5" ht="40.200000000000003" customHeight="1" x14ac:dyDescent="0.3">
      <c r="A14" s="3">
        <f t="shared" si="0"/>
        <v>9</v>
      </c>
      <c r="B14" s="10" t="s">
        <v>13</v>
      </c>
      <c r="C14" s="20"/>
      <c r="D14" s="15" t="s">
        <v>5</v>
      </c>
      <c r="E14" s="18"/>
    </row>
    <row r="15" spans="1:5" ht="40.200000000000003" customHeight="1" x14ac:dyDescent="0.3">
      <c r="A15" s="3">
        <f t="shared" si="0"/>
        <v>10</v>
      </c>
      <c r="B15" s="10" t="s">
        <v>14</v>
      </c>
      <c r="C15" s="20"/>
      <c r="D15" s="15" t="s">
        <v>5</v>
      </c>
      <c r="E15" s="18"/>
    </row>
    <row r="16" spans="1:5" ht="40.200000000000003" customHeight="1" x14ac:dyDescent="0.3">
      <c r="A16" s="3">
        <f t="shared" si="0"/>
        <v>11</v>
      </c>
      <c r="B16" s="10" t="s">
        <v>15</v>
      </c>
      <c r="C16" s="20"/>
      <c r="D16" s="15" t="s">
        <v>5</v>
      </c>
      <c r="E16" s="18"/>
    </row>
    <row r="17" spans="1:5" ht="40.200000000000003" customHeight="1" x14ac:dyDescent="0.3">
      <c r="A17" s="3">
        <f t="shared" si="0"/>
        <v>12</v>
      </c>
      <c r="B17" s="10" t="s">
        <v>16</v>
      </c>
      <c r="C17" s="20"/>
      <c r="D17" s="15" t="s">
        <v>5</v>
      </c>
      <c r="E17" s="18"/>
    </row>
    <row r="18" spans="1:5" ht="40.200000000000003" customHeight="1" x14ac:dyDescent="0.3">
      <c r="A18" s="3">
        <f t="shared" si="0"/>
        <v>13</v>
      </c>
      <c r="B18" s="10" t="s">
        <v>17</v>
      </c>
      <c r="C18" s="20"/>
      <c r="D18" s="15" t="s">
        <v>5</v>
      </c>
      <c r="E18" s="18"/>
    </row>
    <row r="19" spans="1:5" ht="40.200000000000003" customHeight="1" x14ac:dyDescent="0.3">
      <c r="A19" s="3">
        <f t="shared" si="0"/>
        <v>14</v>
      </c>
      <c r="B19" s="10" t="s">
        <v>18</v>
      </c>
      <c r="C19" s="20"/>
      <c r="D19" s="15" t="s">
        <v>5</v>
      </c>
      <c r="E19" s="18"/>
    </row>
    <row r="20" spans="1:5" ht="40.200000000000003" customHeight="1" x14ac:dyDescent="0.3">
      <c r="A20" s="3">
        <f t="shared" si="0"/>
        <v>15</v>
      </c>
      <c r="B20" s="10" t="s">
        <v>19</v>
      </c>
      <c r="C20" s="20"/>
      <c r="D20" s="15" t="s">
        <v>5</v>
      </c>
      <c r="E20" s="18"/>
    </row>
    <row r="21" spans="1:5" ht="40.200000000000003" customHeight="1" x14ac:dyDescent="0.3">
      <c r="A21" s="3">
        <f t="shared" si="0"/>
        <v>16</v>
      </c>
      <c r="B21" s="10" t="s">
        <v>20</v>
      </c>
      <c r="C21" s="20"/>
      <c r="D21" s="15" t="s">
        <v>5</v>
      </c>
      <c r="E21" s="18"/>
    </row>
    <row r="22" spans="1:5" ht="40.200000000000003" customHeight="1" x14ac:dyDescent="0.3">
      <c r="A22" s="3">
        <f t="shared" si="0"/>
        <v>17</v>
      </c>
      <c r="B22" s="10" t="s">
        <v>21</v>
      </c>
      <c r="C22" s="20"/>
      <c r="D22" s="15" t="s">
        <v>5</v>
      </c>
      <c r="E22" s="18"/>
    </row>
    <row r="23" spans="1:5" ht="40.200000000000003" customHeight="1" x14ac:dyDescent="0.4">
      <c r="A23" s="3">
        <f t="shared" si="0"/>
        <v>18</v>
      </c>
      <c r="B23" s="11" t="s">
        <v>22</v>
      </c>
      <c r="C23" s="20"/>
      <c r="D23" s="16" t="s">
        <v>23</v>
      </c>
      <c r="E23" s="19"/>
    </row>
    <row r="24" spans="1:5" ht="40.200000000000003" customHeight="1" x14ac:dyDescent="0.4">
      <c r="A24" s="3">
        <f t="shared" si="0"/>
        <v>19</v>
      </c>
      <c r="B24" s="11" t="s">
        <v>24</v>
      </c>
      <c r="C24" s="20"/>
      <c r="D24" s="16" t="s">
        <v>23</v>
      </c>
      <c r="E24" s="19"/>
    </row>
    <row r="25" spans="1:5" ht="40.200000000000003" customHeight="1" x14ac:dyDescent="0.4">
      <c r="A25" s="3">
        <f t="shared" si="0"/>
        <v>20</v>
      </c>
      <c r="B25" s="11" t="s">
        <v>25</v>
      </c>
      <c r="C25" s="20"/>
      <c r="D25" s="16" t="s">
        <v>23</v>
      </c>
      <c r="E25" s="19"/>
    </row>
    <row r="26" spans="1:5" ht="40.200000000000003" customHeight="1" x14ac:dyDescent="0.4">
      <c r="A26" s="3">
        <f t="shared" si="0"/>
        <v>21</v>
      </c>
      <c r="B26" s="11" t="s">
        <v>26</v>
      </c>
      <c r="C26" s="20"/>
      <c r="D26" s="16" t="s">
        <v>23</v>
      </c>
      <c r="E26" s="19"/>
    </row>
    <row r="27" spans="1:5" ht="40.200000000000003" customHeight="1" x14ac:dyDescent="0.4">
      <c r="A27" s="3">
        <f t="shared" si="0"/>
        <v>22</v>
      </c>
      <c r="B27" s="11" t="s">
        <v>27</v>
      </c>
      <c r="C27" s="20"/>
      <c r="D27" s="16" t="s">
        <v>23</v>
      </c>
      <c r="E27" s="19"/>
    </row>
    <row r="28" spans="1:5" ht="40.200000000000003" customHeight="1" x14ac:dyDescent="0.4">
      <c r="A28" s="3">
        <f t="shared" si="0"/>
        <v>23</v>
      </c>
      <c r="B28" s="11" t="s">
        <v>28</v>
      </c>
      <c r="C28" s="20"/>
      <c r="D28" s="16" t="s">
        <v>23</v>
      </c>
      <c r="E28" s="19"/>
    </row>
    <row r="29" spans="1:5" ht="40.200000000000003" customHeight="1" x14ac:dyDescent="0.4">
      <c r="A29" s="3">
        <f t="shared" si="0"/>
        <v>24</v>
      </c>
      <c r="B29" s="11" t="s">
        <v>29</v>
      </c>
      <c r="C29" s="20"/>
      <c r="D29" s="16" t="s">
        <v>23</v>
      </c>
      <c r="E29" s="19"/>
    </row>
    <row r="30" spans="1:5" ht="40.200000000000003" customHeight="1" x14ac:dyDescent="0.4">
      <c r="A30" s="3">
        <f t="shared" si="0"/>
        <v>25</v>
      </c>
      <c r="B30" s="11" t="s">
        <v>30</v>
      </c>
      <c r="C30" s="20"/>
      <c r="D30" s="16" t="s">
        <v>23</v>
      </c>
      <c r="E30" s="19"/>
    </row>
    <row r="31" spans="1:5" ht="40.200000000000003" customHeight="1" x14ac:dyDescent="0.4">
      <c r="A31" s="3">
        <f t="shared" si="0"/>
        <v>26</v>
      </c>
      <c r="B31" s="11" t="s">
        <v>31</v>
      </c>
      <c r="C31" s="20"/>
      <c r="D31" s="16" t="s">
        <v>23</v>
      </c>
      <c r="E31" s="19"/>
    </row>
    <row r="32" spans="1:5" ht="40.200000000000003" customHeight="1" x14ac:dyDescent="0.4">
      <c r="A32" s="3">
        <f t="shared" si="0"/>
        <v>27</v>
      </c>
      <c r="B32" s="11" t="s">
        <v>32</v>
      </c>
      <c r="C32" s="20"/>
      <c r="D32" s="16" t="s">
        <v>23</v>
      </c>
      <c r="E32" s="19"/>
    </row>
    <row r="33" spans="1:5" ht="40.200000000000003" customHeight="1" x14ac:dyDescent="0.4">
      <c r="A33" s="3">
        <f t="shared" si="0"/>
        <v>28</v>
      </c>
      <c r="B33" s="11" t="s">
        <v>33</v>
      </c>
      <c r="C33" s="20"/>
      <c r="D33" s="16" t="s">
        <v>23</v>
      </c>
      <c r="E33" s="19"/>
    </row>
    <row r="34" spans="1:5" ht="40.200000000000003" customHeight="1" x14ac:dyDescent="0.4">
      <c r="A34" s="3">
        <f t="shared" si="0"/>
        <v>29</v>
      </c>
      <c r="B34" s="11" t="s">
        <v>34</v>
      </c>
      <c r="C34" s="20"/>
      <c r="D34" s="16" t="s">
        <v>23</v>
      </c>
      <c r="E34" s="19"/>
    </row>
    <row r="35" spans="1:5" ht="40.200000000000003" customHeight="1" x14ac:dyDescent="0.4">
      <c r="A35" s="3">
        <f t="shared" si="0"/>
        <v>30</v>
      </c>
      <c r="B35" s="11" t="s">
        <v>35</v>
      </c>
      <c r="C35" s="20"/>
      <c r="D35" s="16" t="s">
        <v>23</v>
      </c>
      <c r="E35" s="19"/>
    </row>
    <row r="36" spans="1:5" ht="40.200000000000003" customHeight="1" x14ac:dyDescent="0.4">
      <c r="A36" s="3">
        <f t="shared" si="0"/>
        <v>31</v>
      </c>
      <c r="B36" s="11" t="s">
        <v>36</v>
      </c>
      <c r="C36" s="20"/>
      <c r="D36" s="16" t="s">
        <v>23</v>
      </c>
      <c r="E36" s="19"/>
    </row>
    <row r="37" spans="1:5" ht="40.200000000000003" customHeight="1" x14ac:dyDescent="0.4">
      <c r="A37" s="3">
        <f t="shared" si="0"/>
        <v>32</v>
      </c>
      <c r="B37" s="11" t="s">
        <v>37</v>
      </c>
      <c r="C37" s="20"/>
      <c r="D37" s="16" t="s">
        <v>23</v>
      </c>
      <c r="E37" s="19"/>
    </row>
    <row r="38" spans="1:5" ht="40.200000000000003" customHeight="1" x14ac:dyDescent="0.4">
      <c r="A38" s="3">
        <f t="shared" si="0"/>
        <v>33</v>
      </c>
      <c r="B38" s="11" t="s">
        <v>38</v>
      </c>
      <c r="C38" s="20"/>
      <c r="D38" s="16" t="s">
        <v>23</v>
      </c>
      <c r="E38" s="19"/>
    </row>
    <row r="39" spans="1:5" ht="40.200000000000003" customHeight="1" x14ac:dyDescent="0.4">
      <c r="A39" s="3">
        <f t="shared" ref="A39:A58" si="1">1+A38</f>
        <v>34</v>
      </c>
      <c r="B39" s="11" t="s">
        <v>39</v>
      </c>
      <c r="C39" s="20"/>
      <c r="D39" s="16" t="s">
        <v>23</v>
      </c>
      <c r="E39" s="19"/>
    </row>
    <row r="40" spans="1:5" ht="40.200000000000003" customHeight="1" x14ac:dyDescent="0.4">
      <c r="A40" s="3">
        <f t="shared" si="1"/>
        <v>35</v>
      </c>
      <c r="B40" s="11" t="s">
        <v>40</v>
      </c>
      <c r="C40" s="20"/>
      <c r="D40" s="16" t="s">
        <v>23</v>
      </c>
      <c r="E40" s="19"/>
    </row>
    <row r="41" spans="1:5" ht="40.200000000000003" customHeight="1" x14ac:dyDescent="0.4">
      <c r="A41" s="3">
        <f t="shared" si="1"/>
        <v>36</v>
      </c>
      <c r="B41" s="11" t="s">
        <v>41</v>
      </c>
      <c r="C41" s="20"/>
      <c r="D41" s="16" t="s">
        <v>23</v>
      </c>
      <c r="E41" s="19"/>
    </row>
    <row r="42" spans="1:5" ht="40.200000000000003" customHeight="1" x14ac:dyDescent="0.4">
      <c r="A42" s="3">
        <f t="shared" si="1"/>
        <v>37</v>
      </c>
      <c r="B42" s="11" t="s">
        <v>42</v>
      </c>
      <c r="C42" s="20"/>
      <c r="D42" s="16" t="s">
        <v>23</v>
      </c>
      <c r="E42" s="19"/>
    </row>
    <row r="43" spans="1:5" ht="40.200000000000003" customHeight="1" x14ac:dyDescent="0.4">
      <c r="A43" s="3">
        <f t="shared" si="1"/>
        <v>38</v>
      </c>
      <c r="B43" s="12" t="s">
        <v>43</v>
      </c>
      <c r="C43" s="20"/>
      <c r="D43" s="16" t="s">
        <v>44</v>
      </c>
      <c r="E43" s="19"/>
    </row>
    <row r="44" spans="1:5" ht="40.200000000000003" customHeight="1" x14ac:dyDescent="0.4">
      <c r="A44" s="3">
        <f t="shared" si="1"/>
        <v>39</v>
      </c>
      <c r="B44" s="13" t="s">
        <v>45</v>
      </c>
      <c r="C44" s="20"/>
      <c r="D44" s="16" t="s">
        <v>44</v>
      </c>
      <c r="E44" s="19"/>
    </row>
    <row r="45" spans="1:5" ht="40.200000000000003" customHeight="1" x14ac:dyDescent="0.4">
      <c r="A45" s="3">
        <f t="shared" si="1"/>
        <v>40</v>
      </c>
      <c r="B45" s="13" t="s">
        <v>46</v>
      </c>
      <c r="C45" s="20"/>
      <c r="D45" s="16" t="s">
        <v>44</v>
      </c>
      <c r="E45" s="19"/>
    </row>
    <row r="46" spans="1:5" ht="40.200000000000003" customHeight="1" x14ac:dyDescent="0.4">
      <c r="A46" s="3">
        <f t="shared" si="1"/>
        <v>41</v>
      </c>
      <c r="B46" s="12" t="s">
        <v>47</v>
      </c>
      <c r="C46" s="20"/>
      <c r="D46" s="16" t="s">
        <v>44</v>
      </c>
      <c r="E46" s="19"/>
    </row>
    <row r="47" spans="1:5" ht="40.200000000000003" customHeight="1" x14ac:dyDescent="0.4">
      <c r="A47" s="3">
        <f t="shared" si="1"/>
        <v>42</v>
      </c>
      <c r="B47" s="13" t="s">
        <v>48</v>
      </c>
      <c r="C47" s="20"/>
      <c r="D47" s="16" t="s">
        <v>44</v>
      </c>
      <c r="E47" s="19"/>
    </row>
    <row r="48" spans="1:5" ht="40.200000000000003" customHeight="1" x14ac:dyDescent="0.4">
      <c r="A48" s="3">
        <f t="shared" si="1"/>
        <v>43</v>
      </c>
      <c r="B48" s="12" t="s">
        <v>49</v>
      </c>
      <c r="C48" s="20"/>
      <c r="D48" s="16" t="s">
        <v>44</v>
      </c>
      <c r="E48" s="19"/>
    </row>
    <row r="49" spans="1:5" ht="40.200000000000003" customHeight="1" x14ac:dyDescent="0.4">
      <c r="A49" s="3">
        <f t="shared" si="1"/>
        <v>44</v>
      </c>
      <c r="B49" s="12" t="s">
        <v>50</v>
      </c>
      <c r="C49" s="20"/>
      <c r="D49" s="16" t="s">
        <v>44</v>
      </c>
      <c r="E49" s="19"/>
    </row>
    <row r="50" spans="1:5" ht="40.200000000000003" customHeight="1" x14ac:dyDescent="0.4">
      <c r="A50" s="3">
        <f t="shared" si="1"/>
        <v>45</v>
      </c>
      <c r="B50" s="12" t="s">
        <v>51</v>
      </c>
      <c r="C50" s="20"/>
      <c r="D50" s="16" t="s">
        <v>52</v>
      </c>
      <c r="E50" s="19"/>
    </row>
    <row r="51" spans="1:5" ht="40.200000000000003" customHeight="1" x14ac:dyDescent="0.4">
      <c r="A51" s="3">
        <f t="shared" si="1"/>
        <v>46</v>
      </c>
      <c r="B51" s="12" t="s">
        <v>53</v>
      </c>
      <c r="C51" s="20"/>
      <c r="D51" s="16" t="s">
        <v>52</v>
      </c>
      <c r="E51" s="19"/>
    </row>
    <row r="52" spans="1:5" ht="40.200000000000003" customHeight="1" x14ac:dyDescent="0.4">
      <c r="A52" s="3">
        <f t="shared" si="1"/>
        <v>47</v>
      </c>
      <c r="B52" s="12" t="s">
        <v>54</v>
      </c>
      <c r="C52" s="20"/>
      <c r="D52" s="16" t="s">
        <v>52</v>
      </c>
      <c r="E52" s="19"/>
    </row>
    <row r="53" spans="1:5" ht="40.200000000000003" customHeight="1" x14ac:dyDescent="0.4">
      <c r="A53" s="3">
        <f t="shared" si="1"/>
        <v>48</v>
      </c>
      <c r="B53" s="12" t="s">
        <v>55</v>
      </c>
      <c r="C53" s="20"/>
      <c r="D53" s="16" t="s">
        <v>52</v>
      </c>
      <c r="E53" s="19"/>
    </row>
    <row r="54" spans="1:5" ht="40.200000000000003" customHeight="1" x14ac:dyDescent="0.4">
      <c r="A54" s="3">
        <f t="shared" si="1"/>
        <v>49</v>
      </c>
      <c r="B54" s="14" t="s">
        <v>69</v>
      </c>
      <c r="C54" s="20"/>
      <c r="D54" s="16" t="s">
        <v>56</v>
      </c>
      <c r="E54" s="19"/>
    </row>
    <row r="55" spans="1:5" ht="40.200000000000003" customHeight="1" x14ac:dyDescent="0.4">
      <c r="A55" s="3">
        <f t="shared" si="1"/>
        <v>50</v>
      </c>
      <c r="B55" s="14" t="s">
        <v>57</v>
      </c>
      <c r="C55" s="20"/>
      <c r="D55" s="16" t="s">
        <v>56</v>
      </c>
      <c r="E55" s="19"/>
    </row>
    <row r="56" spans="1:5" ht="40.200000000000003" customHeight="1" x14ac:dyDescent="0.4">
      <c r="A56" s="3">
        <f t="shared" si="1"/>
        <v>51</v>
      </c>
      <c r="B56" s="14" t="s">
        <v>58</v>
      </c>
      <c r="C56" s="20"/>
      <c r="D56" s="16" t="s">
        <v>56</v>
      </c>
      <c r="E56" s="19"/>
    </row>
    <row r="57" spans="1:5" ht="40.200000000000003" customHeight="1" x14ac:dyDescent="0.4">
      <c r="A57" s="3">
        <f t="shared" si="1"/>
        <v>52</v>
      </c>
      <c r="B57" s="14" t="s">
        <v>59</v>
      </c>
      <c r="C57" s="20"/>
      <c r="D57" s="16" t="s">
        <v>56</v>
      </c>
      <c r="E57" s="19"/>
    </row>
    <row r="58" spans="1:5" ht="40.200000000000003" customHeight="1" x14ac:dyDescent="0.4">
      <c r="A58" s="3">
        <f t="shared" si="1"/>
        <v>53</v>
      </c>
      <c r="B58" s="14" t="s">
        <v>60</v>
      </c>
      <c r="C58" s="20"/>
      <c r="D58" s="16" t="s">
        <v>56</v>
      </c>
      <c r="E58" s="19"/>
    </row>
    <row r="62" spans="1:5" x14ac:dyDescent="0.3">
      <c r="D62" s="5"/>
      <c r="E62" s="5"/>
    </row>
  </sheetData>
  <sheetProtection sheet="1" objects="1" scenarios="1" selectLockedCells="1"/>
  <mergeCells count="1">
    <mergeCell ref="A1:E1"/>
  </mergeCells>
  <dataValidations count="1">
    <dataValidation type="list" sqref="C6:C62" xr:uid="{00000000-0002-0000-0000-000000000000}">
      <formula1>"Fait,Non fait,Incomplet"</formula1>
    </dataValidation>
  </dataValidations>
  <printOptions horizontalCentered="1"/>
  <pageMargins left="0.7" right="0.7" top="0.75" bottom="0.75" header="0.3" footer="0.3"/>
  <pageSetup scale="81" fitToHeight="0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uvegarde_Audit">
                <anchor moveWithCells="1" sizeWithCells="1">
                  <from>
                    <xdr:col>1</xdr:col>
                    <xdr:colOff>1722120</xdr:colOff>
                    <xdr:row>1</xdr:row>
                    <xdr:rowOff>167640</xdr:rowOff>
                  </from>
                  <to>
                    <xdr:col>1</xdr:col>
                    <xdr:colOff>3528060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ffacerAudit">
                <anchor moveWithCells="1" sizeWithCells="1">
                  <from>
                    <xdr:col>1</xdr:col>
                    <xdr:colOff>3649980</xdr:colOff>
                    <xdr:row>1</xdr:row>
                    <xdr:rowOff>144780</xdr:rowOff>
                  </from>
                  <to>
                    <xdr:col>2</xdr:col>
                    <xdr:colOff>205740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mprime_Audit">
                <anchor moveWithCells="1" sizeWithCells="1">
                  <from>
                    <xdr:col>2</xdr:col>
                    <xdr:colOff>342900</xdr:colOff>
                    <xdr:row>1</xdr:row>
                    <xdr:rowOff>137160</xdr:rowOff>
                  </from>
                  <to>
                    <xdr:col>3</xdr:col>
                    <xdr:colOff>762000</xdr:colOff>
                    <xdr:row>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nererAnalyse">
                <anchor moveWithCells="1" sizeWithCells="1">
                  <from>
                    <xdr:col>3</xdr:col>
                    <xdr:colOff>944880</xdr:colOff>
                    <xdr:row>1</xdr:row>
                    <xdr:rowOff>121920</xdr:rowOff>
                  </from>
                  <to>
                    <xdr:col>4</xdr:col>
                    <xdr:colOff>228600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Imprime_Analyse">
                <anchor moveWithCells="1" sizeWithCells="1">
                  <from>
                    <xdr:col>4</xdr:col>
                    <xdr:colOff>411480</xdr:colOff>
                    <xdr:row>1</xdr:row>
                    <xdr:rowOff>106680</xdr:rowOff>
                  </from>
                  <to>
                    <xdr:col>4</xdr:col>
                    <xdr:colOff>1927860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Envoyer_Rapport_Analyse">
                <anchor moveWithCells="1" sizeWithCells="1">
                  <from>
                    <xdr:col>1</xdr:col>
                    <xdr:colOff>2712720</xdr:colOff>
                    <xdr:row>2</xdr:row>
                    <xdr:rowOff>251460</xdr:rowOff>
                  </from>
                  <to>
                    <xdr:col>1</xdr:col>
                    <xdr:colOff>4366260</xdr:colOff>
                    <xdr:row>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D9ACC-CFA0-48A6-A666-ADB1DD4815FC}">
  <sheetPr codeName="Feuil2">
    <pageSetUpPr fitToPage="1"/>
  </sheetPr>
  <dimension ref="A1:E62"/>
  <sheetViews>
    <sheetView topLeftCell="A2" workbookViewId="0">
      <selection activeCell="C4" sqref="C4"/>
    </sheetView>
  </sheetViews>
  <sheetFormatPr baseColWidth="10" defaultColWidth="11.44140625" defaultRowHeight="14.4" x14ac:dyDescent="0.3"/>
  <cols>
    <col min="2" max="2" width="66.88671875" customWidth="1"/>
    <col min="3" max="3" width="15" customWidth="1"/>
    <col min="4" max="5" width="28.109375" customWidth="1"/>
  </cols>
  <sheetData>
    <row r="1" spans="1:5" ht="33.450000000000003" customHeight="1" x14ac:dyDescent="0.65">
      <c r="A1" s="21" t="s">
        <v>0</v>
      </c>
      <c r="B1" s="22"/>
      <c r="C1" s="22"/>
      <c r="D1" s="22"/>
      <c r="E1" s="22"/>
    </row>
    <row r="2" spans="1:5" ht="33.450000000000003" customHeight="1" x14ac:dyDescent="0.65">
      <c r="A2" s="1"/>
      <c r="B2" s="2"/>
      <c r="D2" s="2"/>
      <c r="E2" s="2"/>
    </row>
    <row r="3" spans="1:5" ht="33.450000000000003" customHeight="1" x14ac:dyDescent="0.65">
      <c r="A3" s="1"/>
      <c r="B3" s="2"/>
      <c r="D3" s="2"/>
      <c r="E3" s="2"/>
    </row>
    <row r="4" spans="1:5" ht="21" customHeight="1" x14ac:dyDescent="0.4">
      <c r="C4" s="6"/>
      <c r="D4" s="17"/>
      <c r="E4" s="4"/>
    </row>
    <row r="5" spans="1:5" ht="21" customHeight="1" x14ac:dyDescent="0.4">
      <c r="A5" s="7" t="s">
        <v>1</v>
      </c>
      <c r="B5" s="7" t="s">
        <v>2</v>
      </c>
      <c r="C5" s="8"/>
      <c r="D5" s="9" t="s">
        <v>3</v>
      </c>
      <c r="E5" s="9"/>
    </row>
    <row r="6" spans="1:5" ht="40.200000000000003" customHeight="1" x14ac:dyDescent="0.3">
      <c r="A6" s="3">
        <v>1</v>
      </c>
      <c r="B6" s="10" t="s">
        <v>4</v>
      </c>
      <c r="C6" s="20" t="s">
        <v>62</v>
      </c>
      <c r="D6" s="15" t="s">
        <v>5</v>
      </c>
      <c r="E6" s="18"/>
    </row>
    <row r="7" spans="1:5" ht="40.200000000000003" customHeight="1" x14ac:dyDescent="0.3">
      <c r="A7" s="3">
        <f t="shared" ref="A7:A58" si="0">1+A6</f>
        <v>2</v>
      </c>
      <c r="B7" s="10" t="s">
        <v>6</v>
      </c>
      <c r="C7" s="20" t="s">
        <v>61</v>
      </c>
      <c r="D7" s="15" t="s">
        <v>5</v>
      </c>
      <c r="E7" s="18"/>
    </row>
    <row r="8" spans="1:5" ht="40.200000000000003" customHeight="1" x14ac:dyDescent="0.3">
      <c r="A8" s="3">
        <f t="shared" si="0"/>
        <v>3</v>
      </c>
      <c r="B8" s="10" t="s">
        <v>7</v>
      </c>
      <c r="C8" s="20" t="s">
        <v>62</v>
      </c>
      <c r="D8" s="15" t="s">
        <v>5</v>
      </c>
      <c r="E8" s="18"/>
    </row>
    <row r="9" spans="1:5" ht="40.200000000000003" customHeight="1" x14ac:dyDescent="0.3">
      <c r="A9" s="3">
        <f t="shared" si="0"/>
        <v>4</v>
      </c>
      <c r="B9" s="10" t="s">
        <v>8</v>
      </c>
      <c r="C9" s="20"/>
      <c r="D9" s="15" t="s">
        <v>5</v>
      </c>
      <c r="E9" s="18"/>
    </row>
    <row r="10" spans="1:5" ht="40.200000000000003" customHeight="1" x14ac:dyDescent="0.3">
      <c r="A10" s="3">
        <f t="shared" si="0"/>
        <v>5</v>
      </c>
      <c r="B10" s="10" t="s">
        <v>9</v>
      </c>
      <c r="C10" s="20" t="s">
        <v>62</v>
      </c>
      <c r="D10" s="15" t="s">
        <v>5</v>
      </c>
      <c r="E10" s="18"/>
    </row>
    <row r="11" spans="1:5" ht="40.200000000000003" customHeight="1" x14ac:dyDescent="0.3">
      <c r="A11" s="3">
        <f t="shared" si="0"/>
        <v>6</v>
      </c>
      <c r="B11" s="10" t="s">
        <v>10</v>
      </c>
      <c r="C11" s="20"/>
      <c r="D11" s="15" t="s">
        <v>5</v>
      </c>
      <c r="E11" s="18"/>
    </row>
    <row r="12" spans="1:5" ht="40.200000000000003" customHeight="1" x14ac:dyDescent="0.3">
      <c r="A12" s="3">
        <f t="shared" si="0"/>
        <v>7</v>
      </c>
      <c r="B12" s="10" t="s">
        <v>11</v>
      </c>
      <c r="C12" s="20" t="s">
        <v>62</v>
      </c>
      <c r="D12" s="15" t="s">
        <v>5</v>
      </c>
      <c r="E12" s="18"/>
    </row>
    <row r="13" spans="1:5" ht="40.200000000000003" customHeight="1" x14ac:dyDescent="0.3">
      <c r="A13" s="3">
        <f t="shared" si="0"/>
        <v>8</v>
      </c>
      <c r="B13" s="10" t="s">
        <v>12</v>
      </c>
      <c r="C13" s="20" t="s">
        <v>62</v>
      </c>
      <c r="D13" s="15" t="s">
        <v>5</v>
      </c>
      <c r="E13" s="18"/>
    </row>
    <row r="14" spans="1:5" ht="40.200000000000003" customHeight="1" x14ac:dyDescent="0.3">
      <c r="A14" s="3">
        <f t="shared" si="0"/>
        <v>9</v>
      </c>
      <c r="B14" s="10" t="s">
        <v>13</v>
      </c>
      <c r="C14" s="20" t="s">
        <v>62</v>
      </c>
      <c r="D14" s="15" t="s">
        <v>5</v>
      </c>
      <c r="E14" s="18"/>
    </row>
    <row r="15" spans="1:5" ht="40.200000000000003" customHeight="1" x14ac:dyDescent="0.3">
      <c r="A15" s="3">
        <f t="shared" si="0"/>
        <v>10</v>
      </c>
      <c r="B15" s="10" t="s">
        <v>14</v>
      </c>
      <c r="C15" s="20" t="s">
        <v>62</v>
      </c>
      <c r="D15" s="15" t="s">
        <v>5</v>
      </c>
      <c r="E15" s="18"/>
    </row>
    <row r="16" spans="1:5" ht="40.200000000000003" customHeight="1" x14ac:dyDescent="0.3">
      <c r="A16" s="3">
        <f t="shared" si="0"/>
        <v>11</v>
      </c>
      <c r="B16" s="10" t="s">
        <v>15</v>
      </c>
      <c r="C16" s="20" t="s">
        <v>62</v>
      </c>
      <c r="D16" s="15" t="s">
        <v>5</v>
      </c>
      <c r="E16" s="18"/>
    </row>
    <row r="17" spans="1:5" ht="40.200000000000003" customHeight="1" x14ac:dyDescent="0.3">
      <c r="A17" s="3">
        <f t="shared" si="0"/>
        <v>12</v>
      </c>
      <c r="B17" s="10" t="s">
        <v>16</v>
      </c>
      <c r="C17" s="20" t="s">
        <v>62</v>
      </c>
      <c r="D17" s="15" t="s">
        <v>5</v>
      </c>
      <c r="E17" s="18"/>
    </row>
    <row r="18" spans="1:5" ht="40.200000000000003" customHeight="1" x14ac:dyDescent="0.3">
      <c r="A18" s="3">
        <f t="shared" si="0"/>
        <v>13</v>
      </c>
      <c r="B18" s="10" t="s">
        <v>17</v>
      </c>
      <c r="C18" s="20" t="s">
        <v>62</v>
      </c>
      <c r="D18" s="15" t="s">
        <v>5</v>
      </c>
      <c r="E18" s="18"/>
    </row>
    <row r="19" spans="1:5" ht="40.200000000000003" customHeight="1" x14ac:dyDescent="0.3">
      <c r="A19" s="3">
        <f t="shared" si="0"/>
        <v>14</v>
      </c>
      <c r="B19" s="10" t="s">
        <v>18</v>
      </c>
      <c r="C19" s="20"/>
      <c r="D19" s="15" t="s">
        <v>5</v>
      </c>
      <c r="E19" s="18"/>
    </row>
    <row r="20" spans="1:5" ht="40.200000000000003" customHeight="1" x14ac:dyDescent="0.3">
      <c r="A20" s="3">
        <f t="shared" si="0"/>
        <v>15</v>
      </c>
      <c r="B20" s="10" t="s">
        <v>19</v>
      </c>
      <c r="C20" s="20" t="s">
        <v>62</v>
      </c>
      <c r="D20" s="15" t="s">
        <v>5</v>
      </c>
      <c r="E20" s="18"/>
    </row>
    <row r="21" spans="1:5" ht="40.200000000000003" customHeight="1" x14ac:dyDescent="0.3">
      <c r="A21" s="3">
        <f t="shared" si="0"/>
        <v>16</v>
      </c>
      <c r="B21" s="10" t="s">
        <v>20</v>
      </c>
      <c r="C21" s="20" t="s">
        <v>62</v>
      </c>
      <c r="D21" s="15" t="s">
        <v>5</v>
      </c>
      <c r="E21" s="18"/>
    </row>
    <row r="22" spans="1:5" ht="40.200000000000003" customHeight="1" x14ac:dyDescent="0.3">
      <c r="A22" s="3">
        <f t="shared" si="0"/>
        <v>17</v>
      </c>
      <c r="B22" s="10" t="s">
        <v>21</v>
      </c>
      <c r="C22" s="20" t="s">
        <v>61</v>
      </c>
      <c r="D22" s="15" t="s">
        <v>5</v>
      </c>
      <c r="E22" s="18"/>
    </row>
    <row r="23" spans="1:5" ht="40.200000000000003" customHeight="1" x14ac:dyDescent="0.4">
      <c r="A23" s="3">
        <f t="shared" si="0"/>
        <v>18</v>
      </c>
      <c r="B23" s="11" t="s">
        <v>22</v>
      </c>
      <c r="C23" s="20" t="s">
        <v>62</v>
      </c>
      <c r="D23" s="16" t="s">
        <v>23</v>
      </c>
      <c r="E23" s="19"/>
    </row>
    <row r="24" spans="1:5" ht="40.200000000000003" customHeight="1" x14ac:dyDescent="0.4">
      <c r="A24" s="3">
        <f t="shared" si="0"/>
        <v>19</v>
      </c>
      <c r="B24" s="11" t="s">
        <v>24</v>
      </c>
      <c r="C24" s="20" t="s">
        <v>62</v>
      </c>
      <c r="D24" s="16" t="s">
        <v>23</v>
      </c>
      <c r="E24" s="19"/>
    </row>
    <row r="25" spans="1:5" ht="40.200000000000003" customHeight="1" x14ac:dyDescent="0.4">
      <c r="A25" s="3">
        <f t="shared" si="0"/>
        <v>20</v>
      </c>
      <c r="B25" s="11" t="s">
        <v>25</v>
      </c>
      <c r="C25" s="20" t="s">
        <v>62</v>
      </c>
      <c r="D25" s="16" t="s">
        <v>23</v>
      </c>
      <c r="E25" s="19"/>
    </row>
    <row r="26" spans="1:5" ht="40.200000000000003" customHeight="1" x14ac:dyDescent="0.4">
      <c r="A26" s="3">
        <f t="shared" si="0"/>
        <v>21</v>
      </c>
      <c r="B26" s="11" t="s">
        <v>26</v>
      </c>
      <c r="C26" s="20" t="s">
        <v>62</v>
      </c>
      <c r="D26" s="16" t="s">
        <v>23</v>
      </c>
      <c r="E26" s="19"/>
    </row>
    <row r="27" spans="1:5" ht="40.200000000000003" customHeight="1" x14ac:dyDescent="0.4">
      <c r="A27" s="3">
        <f t="shared" si="0"/>
        <v>22</v>
      </c>
      <c r="B27" s="11" t="s">
        <v>27</v>
      </c>
      <c r="C27" s="20" t="s">
        <v>62</v>
      </c>
      <c r="D27" s="16" t="s">
        <v>23</v>
      </c>
      <c r="E27" s="19"/>
    </row>
    <row r="28" spans="1:5" ht="40.200000000000003" customHeight="1" x14ac:dyDescent="0.4">
      <c r="A28" s="3">
        <f t="shared" si="0"/>
        <v>23</v>
      </c>
      <c r="B28" s="11" t="s">
        <v>28</v>
      </c>
      <c r="C28" s="20" t="s">
        <v>62</v>
      </c>
      <c r="D28" s="16" t="s">
        <v>23</v>
      </c>
      <c r="E28" s="19"/>
    </row>
    <row r="29" spans="1:5" ht="40.200000000000003" customHeight="1" x14ac:dyDescent="0.4">
      <c r="A29" s="3">
        <f t="shared" si="0"/>
        <v>24</v>
      </c>
      <c r="B29" s="11" t="s">
        <v>29</v>
      </c>
      <c r="C29" s="20" t="s">
        <v>62</v>
      </c>
      <c r="D29" s="16" t="s">
        <v>23</v>
      </c>
      <c r="E29" s="19"/>
    </row>
    <row r="30" spans="1:5" ht="40.200000000000003" customHeight="1" x14ac:dyDescent="0.4">
      <c r="A30" s="3">
        <f t="shared" si="0"/>
        <v>25</v>
      </c>
      <c r="B30" s="11" t="s">
        <v>30</v>
      </c>
      <c r="C30" s="20" t="s">
        <v>62</v>
      </c>
      <c r="D30" s="16" t="s">
        <v>23</v>
      </c>
      <c r="E30" s="19"/>
    </row>
    <row r="31" spans="1:5" ht="40.200000000000003" customHeight="1" x14ac:dyDescent="0.4">
      <c r="A31" s="3">
        <f t="shared" si="0"/>
        <v>26</v>
      </c>
      <c r="B31" s="11" t="s">
        <v>31</v>
      </c>
      <c r="C31" s="20" t="s">
        <v>62</v>
      </c>
      <c r="D31" s="16" t="s">
        <v>23</v>
      </c>
      <c r="E31" s="19"/>
    </row>
    <row r="32" spans="1:5" ht="40.200000000000003" customHeight="1" x14ac:dyDescent="0.4">
      <c r="A32" s="3">
        <f t="shared" si="0"/>
        <v>27</v>
      </c>
      <c r="B32" s="11" t="s">
        <v>32</v>
      </c>
      <c r="C32" s="20" t="s">
        <v>62</v>
      </c>
      <c r="D32" s="16" t="s">
        <v>23</v>
      </c>
      <c r="E32" s="19"/>
    </row>
    <row r="33" spans="1:5" ht="40.200000000000003" customHeight="1" x14ac:dyDescent="0.4">
      <c r="A33" s="3">
        <f t="shared" si="0"/>
        <v>28</v>
      </c>
      <c r="B33" s="11" t="s">
        <v>33</v>
      </c>
      <c r="C33" s="20" t="s">
        <v>63</v>
      </c>
      <c r="D33" s="16" t="s">
        <v>23</v>
      </c>
      <c r="E33" s="19" t="s">
        <v>64</v>
      </c>
    </row>
    <row r="34" spans="1:5" ht="40.200000000000003" customHeight="1" x14ac:dyDescent="0.4">
      <c r="A34" s="3">
        <f t="shared" si="0"/>
        <v>29</v>
      </c>
      <c r="B34" s="11" t="s">
        <v>34</v>
      </c>
      <c r="C34" s="20" t="s">
        <v>62</v>
      </c>
      <c r="D34" s="16" t="s">
        <v>23</v>
      </c>
      <c r="E34" s="19" t="s">
        <v>65</v>
      </c>
    </row>
    <row r="35" spans="1:5" ht="40.200000000000003" customHeight="1" x14ac:dyDescent="0.4">
      <c r="A35" s="3">
        <f t="shared" si="0"/>
        <v>30</v>
      </c>
      <c r="B35" s="11" t="s">
        <v>35</v>
      </c>
      <c r="C35" s="20" t="s">
        <v>63</v>
      </c>
      <c r="D35" s="16" t="s">
        <v>23</v>
      </c>
      <c r="E35" s="19" t="s">
        <v>65</v>
      </c>
    </row>
    <row r="36" spans="1:5" ht="40.200000000000003" customHeight="1" x14ac:dyDescent="0.4">
      <c r="A36" s="3">
        <f t="shared" si="0"/>
        <v>31</v>
      </c>
      <c r="B36" s="11" t="s">
        <v>36</v>
      </c>
      <c r="C36" s="20" t="s">
        <v>63</v>
      </c>
      <c r="D36" s="16" t="s">
        <v>23</v>
      </c>
      <c r="E36" s="19" t="s">
        <v>65</v>
      </c>
    </row>
    <row r="37" spans="1:5" ht="40.200000000000003" customHeight="1" x14ac:dyDescent="0.4">
      <c r="A37" s="3">
        <f t="shared" si="0"/>
        <v>32</v>
      </c>
      <c r="B37" s="11" t="s">
        <v>37</v>
      </c>
      <c r="C37" s="20" t="s">
        <v>61</v>
      </c>
      <c r="D37" s="16" t="s">
        <v>23</v>
      </c>
      <c r="E37" s="19" t="s">
        <v>66</v>
      </c>
    </row>
    <row r="38" spans="1:5" ht="40.200000000000003" customHeight="1" x14ac:dyDescent="0.4">
      <c r="A38" s="3">
        <f t="shared" si="0"/>
        <v>33</v>
      </c>
      <c r="B38" s="11" t="s">
        <v>38</v>
      </c>
      <c r="C38" s="20" t="s">
        <v>61</v>
      </c>
      <c r="D38" s="16" t="s">
        <v>23</v>
      </c>
      <c r="E38" s="19" t="s">
        <v>67</v>
      </c>
    </row>
    <row r="39" spans="1:5" ht="40.200000000000003" customHeight="1" x14ac:dyDescent="0.4">
      <c r="A39" s="3">
        <f t="shared" si="0"/>
        <v>34</v>
      </c>
      <c r="B39" s="11" t="s">
        <v>39</v>
      </c>
      <c r="C39" s="20" t="s">
        <v>62</v>
      </c>
      <c r="D39" s="16" t="s">
        <v>23</v>
      </c>
      <c r="E39" s="19"/>
    </row>
    <row r="40" spans="1:5" ht="40.200000000000003" customHeight="1" x14ac:dyDescent="0.4">
      <c r="A40" s="3">
        <f t="shared" si="0"/>
        <v>35</v>
      </c>
      <c r="B40" s="11" t="s">
        <v>40</v>
      </c>
      <c r="C40" s="20" t="s">
        <v>62</v>
      </c>
      <c r="D40" s="16" t="s">
        <v>23</v>
      </c>
      <c r="E40" s="19"/>
    </row>
    <row r="41" spans="1:5" ht="40.200000000000003" customHeight="1" x14ac:dyDescent="0.4">
      <c r="A41" s="3">
        <f t="shared" si="0"/>
        <v>36</v>
      </c>
      <c r="B41" s="11" t="s">
        <v>41</v>
      </c>
      <c r="C41" s="20" t="s">
        <v>62</v>
      </c>
      <c r="D41" s="16" t="s">
        <v>23</v>
      </c>
      <c r="E41" s="19" t="s">
        <v>65</v>
      </c>
    </row>
    <row r="42" spans="1:5" ht="40.200000000000003" customHeight="1" x14ac:dyDescent="0.4">
      <c r="A42" s="3">
        <f t="shared" si="0"/>
        <v>37</v>
      </c>
      <c r="B42" s="11" t="s">
        <v>42</v>
      </c>
      <c r="C42" s="20"/>
      <c r="D42" s="16" t="s">
        <v>23</v>
      </c>
      <c r="E42" s="19"/>
    </row>
    <row r="43" spans="1:5" ht="40.200000000000003" customHeight="1" x14ac:dyDescent="0.4">
      <c r="A43" s="3">
        <f t="shared" si="0"/>
        <v>38</v>
      </c>
      <c r="B43" s="12" t="s">
        <v>43</v>
      </c>
      <c r="C43" s="20" t="s">
        <v>62</v>
      </c>
      <c r="D43" s="16" t="s">
        <v>44</v>
      </c>
      <c r="E43" s="19"/>
    </row>
    <row r="44" spans="1:5" ht="40.200000000000003" customHeight="1" x14ac:dyDescent="0.4">
      <c r="A44" s="3">
        <f t="shared" si="0"/>
        <v>39</v>
      </c>
      <c r="B44" s="13" t="s">
        <v>45</v>
      </c>
      <c r="C44" s="20" t="s">
        <v>62</v>
      </c>
      <c r="D44" s="16" t="s">
        <v>44</v>
      </c>
      <c r="E44" s="19"/>
    </row>
    <row r="45" spans="1:5" ht="40.200000000000003" customHeight="1" x14ac:dyDescent="0.4">
      <c r="A45" s="3">
        <f t="shared" si="0"/>
        <v>40</v>
      </c>
      <c r="B45" s="13" t="s">
        <v>46</v>
      </c>
      <c r="C45" s="20" t="s">
        <v>62</v>
      </c>
      <c r="D45" s="16" t="s">
        <v>44</v>
      </c>
      <c r="E45" s="19"/>
    </row>
    <row r="46" spans="1:5" ht="40.200000000000003" customHeight="1" x14ac:dyDescent="0.4">
      <c r="A46" s="3">
        <f t="shared" si="0"/>
        <v>41</v>
      </c>
      <c r="B46" s="12" t="s">
        <v>47</v>
      </c>
      <c r="C46" s="20" t="s">
        <v>62</v>
      </c>
      <c r="D46" s="16" t="s">
        <v>44</v>
      </c>
      <c r="E46" s="19"/>
    </row>
    <row r="47" spans="1:5" ht="40.200000000000003" customHeight="1" x14ac:dyDescent="0.4">
      <c r="A47" s="3">
        <f t="shared" si="0"/>
        <v>42</v>
      </c>
      <c r="B47" s="13" t="s">
        <v>48</v>
      </c>
      <c r="C47" s="20" t="s">
        <v>62</v>
      </c>
      <c r="D47" s="16" t="s">
        <v>44</v>
      </c>
      <c r="E47" s="19"/>
    </row>
    <row r="48" spans="1:5" ht="40.200000000000003" customHeight="1" x14ac:dyDescent="0.4">
      <c r="A48" s="3">
        <f t="shared" si="0"/>
        <v>43</v>
      </c>
      <c r="B48" s="12" t="s">
        <v>49</v>
      </c>
      <c r="C48" s="20" t="s">
        <v>62</v>
      </c>
      <c r="D48" s="16" t="s">
        <v>44</v>
      </c>
      <c r="E48" s="19"/>
    </row>
    <row r="49" spans="1:5" ht="40.200000000000003" customHeight="1" x14ac:dyDescent="0.4">
      <c r="A49" s="3">
        <f t="shared" si="0"/>
        <v>44</v>
      </c>
      <c r="B49" s="12" t="s">
        <v>50</v>
      </c>
      <c r="C49" s="20" t="s">
        <v>63</v>
      </c>
      <c r="D49" s="16" t="s">
        <v>44</v>
      </c>
      <c r="E49" s="19" t="s">
        <v>68</v>
      </c>
    </row>
    <row r="50" spans="1:5" ht="40.200000000000003" customHeight="1" x14ac:dyDescent="0.4">
      <c r="A50" s="3">
        <f t="shared" si="0"/>
        <v>45</v>
      </c>
      <c r="B50" s="12" t="s">
        <v>51</v>
      </c>
      <c r="C50" s="20" t="s">
        <v>63</v>
      </c>
      <c r="D50" s="16" t="s">
        <v>52</v>
      </c>
      <c r="E50" s="19" t="s">
        <v>68</v>
      </c>
    </row>
    <row r="51" spans="1:5" ht="40.200000000000003" customHeight="1" x14ac:dyDescent="0.4">
      <c r="A51" s="3">
        <f t="shared" si="0"/>
        <v>46</v>
      </c>
      <c r="B51" s="12" t="s">
        <v>53</v>
      </c>
      <c r="C51" s="20" t="s">
        <v>62</v>
      </c>
      <c r="D51" s="16" t="s">
        <v>52</v>
      </c>
      <c r="E51" s="19"/>
    </row>
    <row r="52" spans="1:5" ht="40.200000000000003" customHeight="1" x14ac:dyDescent="0.4">
      <c r="A52" s="3">
        <f t="shared" si="0"/>
        <v>47</v>
      </c>
      <c r="B52" s="12" t="s">
        <v>54</v>
      </c>
      <c r="C52" s="20" t="s">
        <v>62</v>
      </c>
      <c r="D52" s="16" t="s">
        <v>52</v>
      </c>
      <c r="E52" s="19"/>
    </row>
    <row r="53" spans="1:5" ht="40.200000000000003" customHeight="1" x14ac:dyDescent="0.4">
      <c r="A53" s="3">
        <f t="shared" si="0"/>
        <v>48</v>
      </c>
      <c r="B53" s="12" t="s">
        <v>55</v>
      </c>
      <c r="C53" s="20" t="s">
        <v>62</v>
      </c>
      <c r="D53" s="16" t="s">
        <v>52</v>
      </c>
      <c r="E53" s="19"/>
    </row>
    <row r="54" spans="1:5" ht="40.200000000000003" customHeight="1" x14ac:dyDescent="0.4">
      <c r="A54" s="3">
        <f t="shared" si="0"/>
        <v>49</v>
      </c>
      <c r="B54" s="14" t="s">
        <v>69</v>
      </c>
      <c r="C54" s="20" t="s">
        <v>62</v>
      </c>
      <c r="D54" s="16" t="s">
        <v>56</v>
      </c>
      <c r="E54" s="19" t="s">
        <v>70</v>
      </c>
    </row>
    <row r="55" spans="1:5" ht="40.200000000000003" customHeight="1" x14ac:dyDescent="0.4">
      <c r="A55" s="3">
        <f t="shared" si="0"/>
        <v>50</v>
      </c>
      <c r="B55" s="14" t="s">
        <v>57</v>
      </c>
      <c r="C55" s="20" t="s">
        <v>61</v>
      </c>
      <c r="D55" s="16" t="s">
        <v>56</v>
      </c>
      <c r="E55" s="19"/>
    </row>
    <row r="56" spans="1:5" ht="40.200000000000003" customHeight="1" x14ac:dyDescent="0.4">
      <c r="A56" s="3">
        <f t="shared" si="0"/>
        <v>51</v>
      </c>
      <c r="B56" s="14" t="s">
        <v>58</v>
      </c>
      <c r="C56" s="20" t="s">
        <v>63</v>
      </c>
      <c r="D56" s="16" t="s">
        <v>56</v>
      </c>
      <c r="E56" s="19" t="s">
        <v>71</v>
      </c>
    </row>
    <row r="57" spans="1:5" ht="40.200000000000003" customHeight="1" x14ac:dyDescent="0.4">
      <c r="A57" s="3">
        <f t="shared" si="0"/>
        <v>52</v>
      </c>
      <c r="B57" s="14" t="s">
        <v>59</v>
      </c>
      <c r="C57" s="20" t="s">
        <v>61</v>
      </c>
      <c r="D57" s="16" t="s">
        <v>56</v>
      </c>
      <c r="E57" s="19" t="s">
        <v>72</v>
      </c>
    </row>
    <row r="58" spans="1:5" ht="40.200000000000003" customHeight="1" x14ac:dyDescent="0.4">
      <c r="A58" s="3">
        <f t="shared" si="0"/>
        <v>53</v>
      </c>
      <c r="B58" s="14" t="s">
        <v>60</v>
      </c>
      <c r="C58" s="20" t="s">
        <v>62</v>
      </c>
      <c r="D58" s="16" t="s">
        <v>56</v>
      </c>
      <c r="E58" s="19"/>
    </row>
    <row r="62" spans="1:5" x14ac:dyDescent="0.3">
      <c r="D62" s="5"/>
      <c r="E62" s="5"/>
    </row>
  </sheetData>
  <sheetProtection selectLockedCells="1"/>
  <mergeCells count="1">
    <mergeCell ref="A1:E1"/>
  </mergeCells>
  <dataValidations count="1">
    <dataValidation type="list" sqref="C6:C62" xr:uid="{9E7C0A21-F35C-4144-B382-F4F244F5D21D}">
      <formula1>"Fait,Non fait,Incomplet"</formula1>
    </dataValidation>
  </dataValidations>
  <printOptions horizontalCentered="1"/>
  <pageMargins left="0.7" right="0.7" top="0.75" bottom="0.75" header="0.3" footer="0.3"/>
  <pageSetup scale="81" fitToHeight="0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auvegarde_Audit">
                <anchor moveWithCells="1" sizeWithCells="1">
                  <from>
                    <xdr:col>1</xdr:col>
                    <xdr:colOff>1722120</xdr:colOff>
                    <xdr:row>1</xdr:row>
                    <xdr:rowOff>167640</xdr:rowOff>
                  </from>
                  <to>
                    <xdr:col>1</xdr:col>
                    <xdr:colOff>3528060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EffacerAudit">
                <anchor moveWithCells="1" sizeWithCells="1">
                  <from>
                    <xdr:col>1</xdr:col>
                    <xdr:colOff>3649980</xdr:colOff>
                    <xdr:row>1</xdr:row>
                    <xdr:rowOff>144780</xdr:rowOff>
                  </from>
                  <to>
                    <xdr:col>2</xdr:col>
                    <xdr:colOff>205740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Imprime_Audit">
                <anchor moveWithCells="1" sizeWithCells="1">
                  <from>
                    <xdr:col>2</xdr:col>
                    <xdr:colOff>342900</xdr:colOff>
                    <xdr:row>1</xdr:row>
                    <xdr:rowOff>137160</xdr:rowOff>
                  </from>
                  <to>
                    <xdr:col>3</xdr:col>
                    <xdr:colOff>762000</xdr:colOff>
                    <xdr:row>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GenererAnalyse">
                <anchor moveWithCells="1" sizeWithCells="1">
                  <from>
                    <xdr:col>3</xdr:col>
                    <xdr:colOff>944880</xdr:colOff>
                    <xdr:row>1</xdr:row>
                    <xdr:rowOff>121920</xdr:rowOff>
                  </from>
                  <to>
                    <xdr:col>4</xdr:col>
                    <xdr:colOff>228600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Imprime_Analyse">
                <anchor moveWithCells="1" sizeWithCells="1">
                  <from>
                    <xdr:col>4</xdr:col>
                    <xdr:colOff>411480</xdr:colOff>
                    <xdr:row>1</xdr:row>
                    <xdr:rowOff>106680</xdr:rowOff>
                  </from>
                  <to>
                    <xdr:col>4</xdr:col>
                    <xdr:colOff>1927860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0C94B-CE69-44F6-AAFF-B320BEF3522C}">
  <sheetPr codeName="Feuil3">
    <pageSetUpPr fitToPage="1"/>
  </sheetPr>
  <dimension ref="A1:F13"/>
  <sheetViews>
    <sheetView workbookViewId="0"/>
  </sheetViews>
  <sheetFormatPr baseColWidth="10" defaultRowHeight="14.4" x14ac:dyDescent="0.3"/>
  <cols>
    <col min="1" max="1" width="123.109375" bestFit="1" customWidth="1"/>
    <col min="2" max="2" width="12.6640625" bestFit="1" customWidth="1"/>
    <col min="3" max="3" width="7.21875" bestFit="1" customWidth="1"/>
    <col min="4" max="4" width="9" bestFit="1" customWidth="1"/>
    <col min="5" max="5" width="4.88671875" bestFit="1" customWidth="1"/>
  </cols>
  <sheetData>
    <row r="1" spans="1:6" x14ac:dyDescent="0.3">
      <c r="A1" t="s">
        <v>73</v>
      </c>
      <c r="B1" t="s">
        <v>74</v>
      </c>
      <c r="C1" t="s">
        <v>61</v>
      </c>
      <c r="D1" t="s">
        <v>63</v>
      </c>
      <c r="E1" t="s">
        <v>75</v>
      </c>
      <c r="F1" t="s">
        <v>76</v>
      </c>
    </row>
    <row r="2" spans="1:6" x14ac:dyDescent="0.3">
      <c r="A2" t="s">
        <v>6</v>
      </c>
      <c r="B2" t="s">
        <v>5</v>
      </c>
      <c r="C2">
        <v>1</v>
      </c>
      <c r="D2">
        <v>0</v>
      </c>
      <c r="E2">
        <v>1</v>
      </c>
      <c r="F2" t="s">
        <v>77</v>
      </c>
    </row>
    <row r="3" spans="1:6" x14ac:dyDescent="0.3">
      <c r="A3" t="s">
        <v>21</v>
      </c>
      <c r="B3" t="s">
        <v>5</v>
      </c>
      <c r="C3">
        <v>1</v>
      </c>
      <c r="D3">
        <v>0</v>
      </c>
      <c r="E3">
        <v>1</v>
      </c>
      <c r="F3" t="s">
        <v>77</v>
      </c>
    </row>
    <row r="4" spans="1:6" x14ac:dyDescent="0.3">
      <c r="A4" t="s">
        <v>33</v>
      </c>
      <c r="B4" t="s">
        <v>23</v>
      </c>
      <c r="C4">
        <v>0</v>
      </c>
      <c r="D4">
        <v>1</v>
      </c>
      <c r="E4">
        <v>1</v>
      </c>
      <c r="F4" t="s">
        <v>77</v>
      </c>
    </row>
    <row r="5" spans="1:6" x14ac:dyDescent="0.3">
      <c r="A5" t="s">
        <v>35</v>
      </c>
      <c r="B5" t="s">
        <v>23</v>
      </c>
      <c r="C5">
        <v>0</v>
      </c>
      <c r="D5">
        <v>1</v>
      </c>
      <c r="E5">
        <v>1</v>
      </c>
      <c r="F5" t="s">
        <v>77</v>
      </c>
    </row>
    <row r="6" spans="1:6" x14ac:dyDescent="0.3">
      <c r="A6" t="s">
        <v>36</v>
      </c>
      <c r="B6" t="s">
        <v>23</v>
      </c>
      <c r="C6">
        <v>0</v>
      </c>
      <c r="D6">
        <v>1</v>
      </c>
      <c r="E6">
        <v>1</v>
      </c>
      <c r="F6" t="s">
        <v>77</v>
      </c>
    </row>
    <row r="7" spans="1:6" x14ac:dyDescent="0.3">
      <c r="A7" t="s">
        <v>37</v>
      </c>
      <c r="B7" t="s">
        <v>23</v>
      </c>
      <c r="C7">
        <v>1</v>
      </c>
      <c r="D7">
        <v>0</v>
      </c>
      <c r="E7">
        <v>1</v>
      </c>
      <c r="F7" t="s">
        <v>77</v>
      </c>
    </row>
    <row r="8" spans="1:6" x14ac:dyDescent="0.3">
      <c r="A8" t="s">
        <v>38</v>
      </c>
      <c r="B8" t="s">
        <v>23</v>
      </c>
      <c r="C8">
        <v>1</v>
      </c>
      <c r="D8">
        <v>0</v>
      </c>
      <c r="E8">
        <v>1</v>
      </c>
      <c r="F8" t="s">
        <v>77</v>
      </c>
    </row>
    <row r="9" spans="1:6" x14ac:dyDescent="0.3">
      <c r="A9" t="s">
        <v>50</v>
      </c>
      <c r="B9" t="s">
        <v>44</v>
      </c>
      <c r="C9">
        <v>0</v>
      </c>
      <c r="D9">
        <v>1</v>
      </c>
      <c r="E9">
        <v>1</v>
      </c>
      <c r="F9" t="s">
        <v>77</v>
      </c>
    </row>
    <row r="10" spans="1:6" x14ac:dyDescent="0.3">
      <c r="A10" t="s">
        <v>51</v>
      </c>
      <c r="B10" t="s">
        <v>52</v>
      </c>
      <c r="C10">
        <v>0</v>
      </c>
      <c r="D10">
        <v>1</v>
      </c>
      <c r="E10">
        <v>1</v>
      </c>
      <c r="F10" t="s">
        <v>77</v>
      </c>
    </row>
    <row r="11" spans="1:6" x14ac:dyDescent="0.3">
      <c r="A11" t="s">
        <v>57</v>
      </c>
      <c r="B11" t="s">
        <v>56</v>
      </c>
      <c r="C11">
        <v>1</v>
      </c>
      <c r="D11">
        <v>0</v>
      </c>
      <c r="E11">
        <v>1</v>
      </c>
      <c r="F11" t="s">
        <v>77</v>
      </c>
    </row>
    <row r="12" spans="1:6" x14ac:dyDescent="0.3">
      <c r="A12" t="s">
        <v>58</v>
      </c>
      <c r="B12" t="s">
        <v>56</v>
      </c>
      <c r="C12">
        <v>0</v>
      </c>
      <c r="D12">
        <v>1</v>
      </c>
      <c r="E12">
        <v>1</v>
      </c>
      <c r="F12" t="s">
        <v>77</v>
      </c>
    </row>
    <row r="13" spans="1:6" x14ac:dyDescent="0.3">
      <c r="A13" t="s">
        <v>59</v>
      </c>
      <c r="B13" t="s">
        <v>56</v>
      </c>
      <c r="C13">
        <v>1</v>
      </c>
      <c r="D13">
        <v>0</v>
      </c>
      <c r="E13">
        <v>1</v>
      </c>
      <c r="F13" t="s">
        <v>77</v>
      </c>
    </row>
  </sheetData>
  <printOptions horizontalCentered="1"/>
  <pageMargins left="0.19685039370078738" right="0.19685039370078738" top="0.39370078740157477" bottom="0.39370078740157477" header="0.3" footer="0.3"/>
  <pageSetup paperSize="8" fitToHeight="0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Audit</vt:lpstr>
      <vt:lpstr>2026-07-26</vt:lpstr>
      <vt:lpstr>Analyse</vt:lpstr>
      <vt:lpstr>Analyse!Impression_des_titres</vt:lpstr>
      <vt:lpstr>'2026-07-26'!Zone_d_impression</vt:lpstr>
      <vt:lpstr>Audit!Zone_d_impression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LEFEBVRE, Martin</dc:creator>
  <cp:keywords/>
  <dc:description/>
  <cp:lastModifiedBy>Entretien ALI - Denis Beauchemin</cp:lastModifiedBy>
  <cp:revision/>
  <cp:lastPrinted>2026-07-26T18:43:17Z</cp:lastPrinted>
  <dcterms:created xsi:type="dcterms:W3CDTF">2026-07-25T13:31:40Z</dcterms:created>
  <dcterms:modified xsi:type="dcterms:W3CDTF">2026-07-26T18:43:56Z</dcterms:modified>
  <cp:category/>
  <cp:contentStatus/>
</cp:coreProperties>
</file>